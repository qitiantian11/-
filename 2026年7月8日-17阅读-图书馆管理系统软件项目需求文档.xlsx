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i\Desktop\"/>
    </mc:Choice>
  </mc:AlternateContent>
  <xr:revisionPtr revIDLastSave="0" documentId="13_ncr:1_{6A80F3C0-4591-4081-87A2-59A6898F847A}" xr6:coauthVersionLast="47" xr6:coauthVersionMax="47" xr10:uidLastSave="{00000000-0000-0000-0000-000000000000}"/>
  <bookViews>
    <workbookView xWindow="6020" yWindow="4110" windowWidth="19200" windowHeight="11170" xr2:uid="{00000000-000D-0000-FFFF-FFFF00000000}"/>
  </bookViews>
  <sheets>
    <sheet name="需求清单" sheetId="1" r:id="rId1"/>
    <sheet name="工作量估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G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<sst xmlns="http://schemas.openxmlformats.org/spreadsheetml/2006/main" count="328" uniqueCount="255">
  <si>
    <t>序号</t>
  </si>
  <si>
    <t>系统名称</t>
  </si>
  <si>
    <t>功能模块</t>
  </si>
  <si>
    <t>功能子项</t>
  </si>
  <si>
    <t>功能描述</t>
  </si>
  <si>
    <t>优先级</t>
  </si>
  <si>
    <t>验收标准</t>
  </si>
  <si>
    <t>图书馆管理系统</t>
  </si>
  <si>
    <t>用户与权限管理</t>
  </si>
  <si>
    <t>读者自助注册</t>
  </si>
  <si>
    <t>读者在线填写学号、姓名、学院等信息注册账号，并自动开通虚拟账户。</t>
  </si>
  <si>
    <t>P0</t>
  </si>
  <si>
    <t>学号唯一；注册后默认为普通读者，账户初始余额为0。</t>
  </si>
  <si>
    <t>账号登录</t>
  </si>
  <si>
    <t>用户输入账号和密码登录，系统根据角色进入对应界面。</t>
  </si>
  <si>
    <t>三类角色可正常登录；错误账号或密码不能登录。</t>
  </si>
  <si>
    <t>角色权限</t>
  </si>
  <si>
    <t>按系统管理员、图书管理员、普通读者控制菜单和数据访问范围。</t>
  </si>
  <si>
    <t>不同角色只能访问授权功能和数据。</t>
  </si>
  <si>
    <t>修改密码</t>
  </si>
  <si>
    <t>用户验证原密码后修改本人密码。</t>
  </si>
  <si>
    <t>新密码不少于8位，修改后旧密码失效。</t>
  </si>
  <si>
    <t>退出登录</t>
  </si>
  <si>
    <t>支持主动退出和30分钟无操作自动退出。</t>
  </si>
  <si>
    <t>P1</t>
  </si>
  <si>
    <t>退出后访问受限页面必须重新登录。</t>
  </si>
  <si>
    <t>登录日志</t>
  </si>
  <si>
    <t>记录账号、时间、结果和客户端信息。</t>
  </si>
  <si>
    <t>系统管理员可按账号和时间查询日志。</t>
  </si>
  <si>
    <t>图书管理</t>
  </si>
  <si>
    <t>新增图书</t>
  </si>
  <si>
    <t>录入书名、作者、ISBN、出版社、分类、索书号等信息。</t>
  </si>
  <si>
    <t>图书编号自动生成且全系统唯一，新增后可查询。</t>
  </si>
  <si>
    <t>修改图书</t>
  </si>
  <si>
    <t>修改图书基本信息。</t>
  </si>
  <si>
    <t>已借出图书不得修改图书编号。</t>
  </si>
  <si>
    <t>图书下架</t>
  </si>
  <si>
    <t>将损坏、遗失或淘汰图书设置为不可借。</t>
  </si>
  <si>
    <t>有未归还记录时不可删除，历史记录保留。</t>
  </si>
  <si>
    <t>馆藏查询</t>
  </si>
  <si>
    <t>按书名、作者、ISBN、分类和图书编号查询。</t>
  </si>
  <si>
    <t>支持模糊查询、分页和空结果提示。</t>
  </si>
  <si>
    <t>批量导入导出</t>
  </si>
  <si>
    <t>通过模板批量导入图书或导出查询结果。</t>
  </si>
  <si>
    <t>P2</t>
  </si>
  <si>
    <t>格式错误和重复数据有明确提示。</t>
  </si>
  <si>
    <t>读者管理</t>
  </si>
  <si>
    <t>读者注册</t>
  </si>
  <si>
    <t>管理员新增读者并生成读者账号和虚拟账户。</t>
  </si>
  <si>
    <t>学号和读者账号唯一，初始余额为0。</t>
  </si>
  <si>
    <t>信息修改</t>
  </si>
  <si>
    <t>修改学院、联系方式和读者类型。</t>
  </si>
  <si>
    <t>修改成功后立即生效并记录日志。</t>
  </si>
  <si>
    <t>挂失解挂</t>
  </si>
  <si>
    <t>挂失后暂停借阅，解挂后恢复资格。</t>
  </si>
  <si>
    <t>挂失账号无法办理新借阅。</t>
  </si>
  <si>
    <t>注销读者</t>
  </si>
  <si>
    <t>停用账号并保留历史借阅和账户记录。</t>
  </si>
  <si>
    <t>有未还图书或未结清费用时禁止注销。</t>
  </si>
  <si>
    <t>账户充值</t>
  </si>
  <si>
    <t>读者选择固定金额进行虚拟充值。</t>
  </si>
  <si>
    <t>支持10、20、50、100元档位，充值后余额立即增加。</t>
  </si>
  <si>
    <t>余额查询</t>
  </si>
  <si>
    <t>查看本人账户余额和充值记录。</t>
  </si>
  <si>
    <t>普通读者只能查看本人账户。</t>
  </si>
  <si>
    <t>借阅资格配置</t>
  </si>
  <si>
    <t>按读者类型设置借阅上限、借期和续借次数。</t>
  </si>
  <si>
    <t>新规则用于后续新业务。</t>
  </si>
  <si>
    <t>借书管理</t>
  </si>
  <si>
    <t>识别读者</t>
  </si>
  <si>
    <t>输入读者账号或从读者列表中选择读者。</t>
  </si>
  <si>
    <t>读者不存在或状态异常时阻止借阅。</t>
  </si>
  <si>
    <t>识别图书</t>
  </si>
  <si>
    <t>输入图书编号或从馆藏列表中选择图书。</t>
  </si>
  <si>
    <t>仅在馆可借状态允许继续。</t>
  </si>
  <si>
    <t>资格校验</t>
  </si>
  <si>
    <t>校验借阅上限、逾期、欠费和预约归属。</t>
  </si>
  <si>
    <t>任一条件不满足时给出具体原因。</t>
  </si>
  <si>
    <t>生成借阅记录</t>
  </si>
  <si>
    <t>保存借出时间、应还时间、经办人和状态。</t>
  </si>
  <si>
    <t>记录成功且应还日期计算正确。</t>
  </si>
  <si>
    <t>更新库存</t>
  </si>
  <si>
    <t>图书状态改为已借出并减少可借数量。</t>
  </si>
  <si>
    <t>记录与库存更新保持一致。</t>
  </si>
  <si>
    <t>显示借阅凭证</t>
  </si>
  <si>
    <t>显示借阅结果、图书信息和应还日期。</t>
  </si>
  <si>
    <t>失败时不生成有效借阅记录。</t>
  </si>
  <si>
    <t>还书管理</t>
  </si>
  <si>
    <t>查询借阅记录</t>
  </si>
  <si>
    <t>按图书编号查询唯一未归还记录。</t>
  </si>
  <si>
    <t>找不到记录时提示可能已归还或编号错误。</t>
  </si>
  <si>
    <t>逾期判断</t>
  </si>
  <si>
    <t>比较应还日期和实际归还时间计算逾期天数。</t>
  </si>
  <si>
    <t>逾期天数按自然日计算且结果准确。</t>
  </si>
  <si>
    <t>计算逾期费用</t>
  </si>
  <si>
    <t>按参数计算罚款，并从读者虚拟账户扣除。</t>
  </si>
  <si>
    <t>金额非负；余额不足时生成欠费记录。</t>
  </si>
  <si>
    <t>确认归还</t>
  </si>
  <si>
    <t>写入归还时间和经办人并关闭借阅记录。</t>
  </si>
  <si>
    <t>归还后记录状态为已归还。</t>
  </si>
  <si>
    <t>更新图书状态</t>
  </si>
  <si>
    <t>无预约时改为在馆可借，有预约时改为预约保留。</t>
  </si>
  <si>
    <t>库存与借阅状态保持一致。</t>
  </si>
  <si>
    <t>预约到书提示</t>
  </si>
  <si>
    <t>存在有效预约时提示管理员处理。</t>
  </si>
  <si>
    <t>按预约时间顺序确定保留读者。</t>
  </si>
  <si>
    <t>续借与预约</t>
  </si>
  <si>
    <t>在线续借</t>
  </si>
  <si>
    <t>符合条件的在借图书可延长应还日期。</t>
  </si>
  <si>
    <t>逾期、达到次数或被预约时不可续借。</t>
  </si>
  <si>
    <t>提交预约</t>
  </si>
  <si>
    <t>无可借图书时可提交预约申请。</t>
  </si>
  <si>
    <t>同一读者不得重复预约同一图书。</t>
  </si>
  <si>
    <t>预约排队</t>
  </si>
  <si>
    <t>按提交时间维护预约队列。</t>
  </si>
  <si>
    <t>队列顺序正确且支持取消。</t>
  </si>
  <si>
    <t>到书保留</t>
  </si>
  <si>
    <t>归还后为队首读者保留指定期限。</t>
  </si>
  <si>
    <t>保留超时自动释放给下一位。</t>
  </si>
  <si>
    <t>预约状态查询</t>
  </si>
  <si>
    <t>查看本人预约序号和状态。</t>
  </si>
  <si>
    <t>普通读者只能查看本人预约。</t>
  </si>
  <si>
    <t>逾期与罚款管理</t>
  </si>
  <si>
    <t>逾期清单</t>
  </si>
  <si>
    <t>按读者、学院和时间查询逾期及欠费记录。</t>
  </si>
  <si>
    <t>默认显示未处理记录并支持查看明细。</t>
  </si>
  <si>
    <t>费用计算</t>
  </si>
  <si>
    <t>按逾期天数和每日标准计算罚款。</t>
  </si>
  <si>
    <t>规则参数化，金额保留两位小数。</t>
  </si>
  <si>
    <t>读者自助缴费</t>
  </si>
  <si>
    <t>读者从虚拟账户余额支付欠费。</t>
  </si>
  <si>
    <t>余额足够时自动扣除，余额不足时提示充值。</t>
  </si>
  <si>
    <t>管理员缴费确认</t>
  </si>
  <si>
    <t>管理员手动确认缴费。</t>
  </si>
  <si>
    <t>缴费金额不得超过未缴金额并记录经办人。</t>
  </si>
  <si>
    <t>费用减免</t>
  </si>
  <si>
    <t>管理员填写原因后执行部分或全部减免。</t>
  </si>
  <si>
    <t>减免操作必须记录操作日志。</t>
  </si>
  <si>
    <t>遗失赔偿</t>
  </si>
  <si>
    <t>记录赔偿金额并更新图书状态。</t>
  </si>
  <si>
    <t>处理后关闭借阅并保留赔偿记录。</t>
  </si>
  <si>
    <t>查询服务</t>
  </si>
  <si>
    <t>馆藏检索</t>
  </si>
  <si>
    <t>提供书名、作者、ISBN、分类等多条件检索。</t>
  </si>
  <si>
    <t>支持模糊匹配、组合条件、分页和排序。</t>
  </si>
  <si>
    <t>图书详情</t>
  </si>
  <si>
    <t>显示书目、馆藏数量和可借数量。</t>
  </si>
  <si>
    <t>不展示内部敏感字段。</t>
  </si>
  <si>
    <t>个人借阅</t>
  </si>
  <si>
    <t>读者查看当前借阅和历史借阅。</t>
  </si>
  <si>
    <t>只能查看本人记录。</t>
  </si>
  <si>
    <t>预约查询</t>
  </si>
  <si>
    <t>查看本人预约状态和排队顺序。</t>
  </si>
  <si>
    <t>只能查看本人预约信息。</t>
  </si>
  <si>
    <t>欠费与余额查询</t>
  </si>
  <si>
    <t>查看未结清费用、账户余额和充值缴费记录。</t>
  </si>
  <si>
    <t>读者仅看本人，管理员可查看全部读者。</t>
  </si>
  <si>
    <t>统计报表</t>
  </si>
  <si>
    <t>借阅趋势</t>
  </si>
  <si>
    <t>按日、周、月统计借阅和归还数量。</t>
  </si>
  <si>
    <t>结果与测试数据一致，时间范围必填。</t>
  </si>
  <si>
    <t>热门图书</t>
  </si>
  <si>
    <t>按借阅次数统计图书排行。</t>
  </si>
  <si>
    <t>支持分类和时间筛选。</t>
  </si>
  <si>
    <t>逾期与费用统计</t>
  </si>
  <si>
    <t>统计逾期人数、册数、费用总额和欠费金额。</t>
  </si>
  <si>
    <t>支持查看明细并导出。</t>
  </si>
  <si>
    <t>读者排行</t>
  </si>
  <si>
    <t>按借阅次数统计读者排行。</t>
  </si>
  <si>
    <t>仅管理员可访问。</t>
  </si>
  <si>
    <t>馆藏利用率</t>
  </si>
  <si>
    <t>统计分类借阅率和周转率。</t>
  </si>
  <si>
    <t>报表中说明计算口径。</t>
  </si>
  <si>
    <t>报表导出</t>
  </si>
  <si>
    <t>将当前筛选结果导出为Excel或CSV。</t>
  </si>
  <si>
    <t>导出文件可在Excel和WPS中打开。</t>
  </si>
  <si>
    <t>系统管理</t>
  </si>
  <si>
    <t>管理员账号</t>
  </si>
  <si>
    <t>新增、停用和重置管理员账号。</t>
  </si>
  <si>
    <t>系统始终保留至少一个可用系统管理员。</t>
  </si>
  <si>
    <t>角色权限配置</t>
  </si>
  <si>
    <t>配置菜单和操作权限。</t>
  </si>
  <si>
    <t>权限变更后生效并记录日志。</t>
  </si>
  <si>
    <t>参数配置</t>
  </si>
  <si>
    <t>维护借期、续借次数、预约保留期和罚款标准。</t>
  </si>
  <si>
    <t>参数修改记录前后值和操作人。</t>
  </si>
  <si>
    <t>操作日志</t>
  </si>
  <si>
    <t>查询关键操作、异常和安全日志。</t>
  </si>
  <si>
    <t>日志至少保留180天。</t>
  </si>
  <si>
    <t>数据备份</t>
  </si>
  <si>
    <t>支持手动和定时备份数据库。</t>
  </si>
  <si>
    <t>备份文件生成成功并与生产数据分开保存。</t>
  </si>
  <si>
    <t>数据恢复</t>
  </si>
  <si>
    <t>从有效备份恢复数据库。</t>
  </si>
  <si>
    <t>恢复前二次确认并生成当前数据快照。</t>
  </si>
  <si>
    <t>非功能需求</t>
  </si>
  <si>
    <t>性能要求</t>
  </si>
  <si>
    <t>普通页面95%的响应时间不超过2秒，借还书不超过2秒，充值缴费不超过1秒。</t>
  </si>
  <si>
    <t>在课程演示环境中操作响应满足目标。</t>
  </si>
  <si>
    <t>可用性要求</t>
  </si>
  <si>
    <t>界面导航、按钮、表单和提示语保持统一。</t>
  </si>
  <si>
    <t>用户经过简单说明可完成主要操作。</t>
  </si>
  <si>
    <t>可维护性要求</t>
  </si>
  <si>
    <t>采用分层和模块化设计，业务参数通过配置维护。</t>
  </si>
  <si>
    <t>代码结构清晰，关键模块可独立修改。</t>
  </si>
  <si>
    <t>兼容性要求</t>
  </si>
  <si>
    <t>支持Windows 10/11及Chrome、Edge等主流浏览器。</t>
  </si>
  <si>
    <t>目标环境下主要功能可正常使用，无需额外硬件。</t>
  </si>
  <si>
    <t>安全性要求</t>
  </si>
  <si>
    <t>密码安全散列、服务端鉴权、输入校验和最小权限。</t>
  </si>
  <si>
    <t>普通读者无法查看他人数据，关键操作可追溯。</t>
  </si>
  <si>
    <t>备份恢复要求</t>
  </si>
  <si>
    <t>每天至少备份一次，保留7个日备份和4个周备份。</t>
  </si>
  <si>
    <t>恢复测试成功，恢复后数据一致。</t>
  </si>
  <si>
    <t>图书馆管理系统需求工作量估算（按最新需求说明书更新）</t>
  </si>
  <si>
    <t>板块</t>
  </si>
  <si>
    <t>模块</t>
  </si>
  <si>
    <t>工期（工作日）</t>
  </si>
  <si>
    <t>工作量（人天）</t>
  </si>
  <si>
    <t>人/天（元）</t>
  </si>
  <si>
    <t>小计（元）</t>
  </si>
  <si>
    <t>需求与设计</t>
  </si>
  <si>
    <t>需求确认与数据库设计</t>
  </si>
  <si>
    <t>需求梳理、业务流程、数据表和接口设计</t>
  </si>
  <si>
    <t>用户与权限</t>
  </si>
  <si>
    <t>注册登录与角色权限</t>
  </si>
  <si>
    <t>自助注册、登录、密码、会话、三类角色鉴权和日志</t>
  </si>
  <si>
    <t>图书信息与馆藏</t>
  </si>
  <si>
    <t>新增、修改、下架、分类、编号、查询和批量导入导出</t>
  </si>
  <si>
    <t>读者资料与虚拟账户</t>
  </si>
  <si>
    <t>注册、修改、挂失、注销、余额、充值和借阅资格</t>
  </si>
  <si>
    <t>流通管理</t>
  </si>
  <si>
    <t>借书业务</t>
  </si>
  <si>
    <t>读者与图书选择、资格校验、借阅记录和库存同步</t>
  </si>
  <si>
    <t>还书业务</t>
  </si>
  <si>
    <t>归还、逾期判断、罚款扣款、预约提示和库存同步</t>
  </si>
  <si>
    <t>续借规则、预约队列、到书保留和状态查询</t>
  </si>
  <si>
    <t>罚款管理</t>
  </si>
  <si>
    <t>逾期、缴费与赔偿</t>
  </si>
  <si>
    <t>费用计算、自助缴费、管理员确认、减免和遗失赔偿</t>
  </si>
  <si>
    <t>馆藏与个人业务查询</t>
  </si>
  <si>
    <t>组合检索、分页、借阅、预约、欠费和余额查询</t>
  </si>
  <si>
    <t>统计与导出</t>
  </si>
  <si>
    <t>趋势、排行、逾期费用、馆藏利用率和Excel/CSV导出</t>
  </si>
  <si>
    <t>参数、日志、备份与恢复</t>
  </si>
  <si>
    <t>账号权限、业务参数、日志、备份和恢复</t>
  </si>
  <si>
    <t>测试</t>
  </si>
  <si>
    <t>功能与集成测试</t>
  </si>
  <si>
    <t>测试用例、模块联调、异常场景和缺陷修复</t>
  </si>
  <si>
    <t>文档与交付</t>
  </si>
  <si>
    <t>项目文档与课堂演示</t>
  </si>
  <si>
    <t>需求文档、设计说明、用户说明、截图和演示准备</t>
  </si>
  <si>
    <t>合计（学生课程项目实际现金支出为0，人天仅用于工作量估算）</t>
  </si>
  <si>
    <t>—</t>
  </si>
  <si>
    <t>图书馆管理系统软件项目需求文档（按最新需求说明书更新）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</si>
</sst>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5"/>
      <color rgb="FF294E73"/>
      <name val="宋体"/>
      <family val="3"/>
      <charset val="134"/>
    </font>
    <font>
      <sz val="10"/>
      <color rgb="FF222222"/>
      <name val="Carlito"/>
    </font>
    <font>
      <b/>
      <sz val="15"/>
      <color rgb="FF294E73"/>
      <name val="Carlito"/>
    </font>
    <font>
      <b/>
      <sz val="10"/>
      <color rgb="FFFFFFFF"/>
      <name val="Carlito"/>
    </font>
    <font>
      <b/>
      <sz val="11"/>
      <color rgb="FF294E73"/>
      <name val="Carlito"/>
    </font>
    <font>
      <b/>
      <sz val="11"/>
      <color rgb="FFFFFFFF"/>
      <name val="宋体"/>
      <family val="3"/>
      <charset val="134"/>
    </font>
    <font>
      <sz val="11"/>
      <color rgb="FF222222"/>
      <name val="宋体"/>
      <family val="3"/>
      <charset val="134"/>
    </font>
    <font>
      <b/>
      <sz val="15"/>
      <color theme="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E9EFF5"/>
      </patternFill>
    </fill>
    <fill>
      <patternFill patternType="solid">
        <fgColor rgb="FF6E8FAF"/>
      </patternFill>
    </fill>
    <fill>
      <patternFill patternType="solid">
        <fgColor rgb="FFF7F9FB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0" fontId="0" fillId="6" borderId="0" xfId="0" applyFill="1"/>
  </cellXfs>
  <cellStyles count="2">
    <cellStyle name="Normal" xfId="1" xr:uid="{00000000-0005-0000-0000-000000000000}"/>
    <cellStyle name="常规" xfId="0" builtinId="0"/>
  </cellStyles>
  <dxfs count="6">
    <dxf>
      <font>
        <b/>
        <color rgb="FF486E43"/>
      </font>
      <fill>
        <patternFill patternType="solid">
          <bgColor rgb="FFE9F1E7"/>
        </patternFill>
      </fill>
    </dxf>
    <dxf>
      <font>
        <b/>
        <color rgb="FF75621D"/>
      </font>
      <fill>
        <patternFill patternType="solid">
          <bgColor rgb="FFF5F0DD"/>
        </patternFill>
      </fill>
    </dxf>
    <dxf>
      <font>
        <b/>
        <color rgb="FF8B3A32"/>
      </font>
      <fill>
        <patternFill patternType="solid">
          <bgColor rgb="FFF4E6E4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zoomScale="70" zoomScaleNormal="70" workbookViewId="0">
      <selection activeCell="J3" sqref="J3"/>
    </sheetView>
  </sheetViews>
  <sheetFormatPr defaultRowHeight="14"/>
  <cols>
    <col min="1" max="1" width="8" customWidth="1"/>
    <col min="2" max="2" width="16" customWidth="1"/>
    <col min="3" max="3" width="18" customWidth="1"/>
    <col min="4" max="4" width="19" customWidth="1"/>
    <col min="5" max="5" width="43" customWidth="1"/>
    <col min="6" max="6" width="9" customWidth="1"/>
    <col min="7" max="7" width="40" customWidth="1"/>
  </cols>
  <sheetData>
    <row r="1" spans="1:8" ht="20" customHeight="1">
      <c r="A1" s="9" t="s">
        <v>254</v>
      </c>
      <c r="B1" s="10"/>
      <c r="C1" s="10"/>
      <c r="D1" s="10"/>
      <c r="E1" s="10"/>
      <c r="F1" s="10"/>
      <c r="G1" s="10"/>
      <c r="H1" s="18"/>
    </row>
    <row r="2" spans="1:8" ht="16.649999999999999" customHeigh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8" ht="25.4" customHeight="1">
      <c r="A3" s="6">
        <v>1</v>
      </c>
      <c r="B3" s="11" t="s">
        <v>7</v>
      </c>
      <c r="C3" s="11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spans="1:8" ht="25.4" customHeight="1">
      <c r="A4" s="6">
        <v>2</v>
      </c>
      <c r="B4" s="12"/>
      <c r="C4" s="12"/>
      <c r="D4" s="6" t="s">
        <v>13</v>
      </c>
      <c r="E4" s="6" t="s">
        <v>14</v>
      </c>
      <c r="F4" s="6" t="s">
        <v>11</v>
      </c>
      <c r="G4" s="6" t="s">
        <v>15</v>
      </c>
    </row>
    <row r="5" spans="1:8" ht="25.4" customHeight="1">
      <c r="A5" s="6">
        <v>3</v>
      </c>
      <c r="B5" s="12"/>
      <c r="C5" s="12"/>
      <c r="D5" s="6" t="s">
        <v>16</v>
      </c>
      <c r="E5" s="6" t="s">
        <v>17</v>
      </c>
      <c r="F5" s="6" t="s">
        <v>11</v>
      </c>
      <c r="G5" s="6" t="s">
        <v>18</v>
      </c>
    </row>
    <row r="6" spans="1:8" ht="25.4" customHeight="1">
      <c r="A6" s="6">
        <v>4</v>
      </c>
      <c r="B6" s="12"/>
      <c r="C6" s="12"/>
      <c r="D6" s="6" t="s">
        <v>19</v>
      </c>
      <c r="E6" s="6" t="s">
        <v>20</v>
      </c>
      <c r="F6" s="6" t="s">
        <v>11</v>
      </c>
      <c r="G6" s="6" t="s">
        <v>21</v>
      </c>
    </row>
    <row r="7" spans="1:8" ht="25.4" customHeight="1">
      <c r="A7" s="6">
        <v>5</v>
      </c>
      <c r="B7" s="12"/>
      <c r="C7" s="12"/>
      <c r="D7" s="6" t="s">
        <v>22</v>
      </c>
      <c r="E7" s="6" t="s">
        <v>23</v>
      </c>
      <c r="F7" s="6" t="s">
        <v>24</v>
      </c>
      <c r="G7" s="6" t="s">
        <v>25</v>
      </c>
    </row>
    <row r="8" spans="1:8" ht="25.4" customHeight="1">
      <c r="A8" s="6">
        <v>6</v>
      </c>
      <c r="B8" s="12"/>
      <c r="C8" s="13"/>
      <c r="D8" s="6" t="s">
        <v>26</v>
      </c>
      <c r="E8" s="6" t="s">
        <v>27</v>
      </c>
      <c r="F8" s="6" t="s">
        <v>24</v>
      </c>
      <c r="G8" s="6" t="s">
        <v>28</v>
      </c>
    </row>
    <row r="9" spans="1:8" ht="25.4" customHeight="1">
      <c r="A9" s="7">
        <v>7</v>
      </c>
      <c r="B9" s="12"/>
      <c r="C9" s="14" t="s">
        <v>29</v>
      </c>
      <c r="D9" s="7" t="s">
        <v>30</v>
      </c>
      <c r="E9" s="7" t="s">
        <v>31</v>
      </c>
      <c r="F9" s="7" t="s">
        <v>11</v>
      </c>
      <c r="G9" s="7" t="s">
        <v>32</v>
      </c>
    </row>
    <row r="10" spans="1:8" ht="25.4" customHeight="1">
      <c r="A10" s="7">
        <v>8</v>
      </c>
      <c r="B10" s="12"/>
      <c r="C10" s="12"/>
      <c r="D10" s="7" t="s">
        <v>33</v>
      </c>
      <c r="E10" s="7" t="s">
        <v>34</v>
      </c>
      <c r="F10" s="7" t="s">
        <v>11</v>
      </c>
      <c r="G10" s="7" t="s">
        <v>35</v>
      </c>
    </row>
    <row r="11" spans="1:8" ht="25.4" customHeight="1">
      <c r="A11" s="7">
        <v>9</v>
      </c>
      <c r="B11" s="12"/>
      <c r="C11" s="12"/>
      <c r="D11" s="7" t="s">
        <v>36</v>
      </c>
      <c r="E11" s="7" t="s">
        <v>37</v>
      </c>
      <c r="F11" s="7" t="s">
        <v>11</v>
      </c>
      <c r="G11" s="7" t="s">
        <v>38</v>
      </c>
    </row>
    <row r="12" spans="1:8" ht="25.4" customHeight="1">
      <c r="A12" s="7">
        <v>10</v>
      </c>
      <c r="B12" s="12"/>
      <c r="C12" s="12"/>
      <c r="D12" s="7" t="s">
        <v>39</v>
      </c>
      <c r="E12" s="7" t="s">
        <v>40</v>
      </c>
      <c r="F12" s="7" t="s">
        <v>11</v>
      </c>
      <c r="G12" s="7" t="s">
        <v>41</v>
      </c>
    </row>
    <row r="13" spans="1:8" ht="25.4" customHeight="1">
      <c r="A13" s="7">
        <v>11</v>
      </c>
      <c r="B13" s="12"/>
      <c r="C13" s="13"/>
      <c r="D13" s="7" t="s">
        <v>42</v>
      </c>
      <c r="E13" s="7" t="s">
        <v>43</v>
      </c>
      <c r="F13" s="7" t="s">
        <v>44</v>
      </c>
      <c r="G13" s="7" t="s">
        <v>45</v>
      </c>
    </row>
    <row r="14" spans="1:8" ht="25.4" customHeight="1">
      <c r="A14" s="6">
        <v>12</v>
      </c>
      <c r="B14" s="12"/>
      <c r="C14" s="11" t="s">
        <v>46</v>
      </c>
      <c r="D14" s="6" t="s">
        <v>47</v>
      </c>
      <c r="E14" s="6" t="s">
        <v>48</v>
      </c>
      <c r="F14" s="6" t="s">
        <v>11</v>
      </c>
      <c r="G14" s="6" t="s">
        <v>49</v>
      </c>
    </row>
    <row r="15" spans="1:8" ht="25.4" customHeight="1">
      <c r="A15" s="6">
        <v>13</v>
      </c>
      <c r="B15" s="12"/>
      <c r="C15" s="12"/>
      <c r="D15" s="6" t="s">
        <v>50</v>
      </c>
      <c r="E15" s="6" t="s">
        <v>51</v>
      </c>
      <c r="F15" s="6" t="s">
        <v>11</v>
      </c>
      <c r="G15" s="6" t="s">
        <v>52</v>
      </c>
    </row>
    <row r="16" spans="1:8" ht="25.4" customHeight="1">
      <c r="A16" s="6">
        <v>14</v>
      </c>
      <c r="B16" s="12"/>
      <c r="C16" s="12"/>
      <c r="D16" s="6" t="s">
        <v>53</v>
      </c>
      <c r="E16" s="6" t="s">
        <v>54</v>
      </c>
      <c r="F16" s="6" t="s">
        <v>11</v>
      </c>
      <c r="G16" s="6" t="s">
        <v>55</v>
      </c>
    </row>
    <row r="17" spans="1:7" ht="25.4" customHeight="1">
      <c r="A17" s="6">
        <v>15</v>
      </c>
      <c r="B17" s="12"/>
      <c r="C17" s="12"/>
      <c r="D17" s="6" t="s">
        <v>56</v>
      </c>
      <c r="E17" s="6" t="s">
        <v>57</v>
      </c>
      <c r="F17" s="6" t="s">
        <v>11</v>
      </c>
      <c r="G17" s="6" t="s">
        <v>58</v>
      </c>
    </row>
    <row r="18" spans="1:7" ht="25.4" customHeight="1">
      <c r="A18" s="6">
        <v>16</v>
      </c>
      <c r="B18" s="12"/>
      <c r="C18" s="12"/>
      <c r="D18" s="6" t="s">
        <v>59</v>
      </c>
      <c r="E18" s="6" t="s">
        <v>60</v>
      </c>
      <c r="F18" s="6" t="s">
        <v>24</v>
      </c>
      <c r="G18" s="6" t="s">
        <v>61</v>
      </c>
    </row>
    <row r="19" spans="1:7" ht="25.4" customHeight="1">
      <c r="A19" s="6">
        <v>17</v>
      </c>
      <c r="B19" s="12"/>
      <c r="C19" s="12"/>
      <c r="D19" s="6" t="s">
        <v>62</v>
      </c>
      <c r="E19" s="6" t="s">
        <v>63</v>
      </c>
      <c r="F19" s="6" t="s">
        <v>24</v>
      </c>
      <c r="G19" s="6" t="s">
        <v>64</v>
      </c>
    </row>
    <row r="20" spans="1:7" ht="25.4" customHeight="1">
      <c r="A20" s="6">
        <v>18</v>
      </c>
      <c r="B20" s="12"/>
      <c r="C20" s="13"/>
      <c r="D20" s="6" t="s">
        <v>65</v>
      </c>
      <c r="E20" s="6" t="s">
        <v>66</v>
      </c>
      <c r="F20" s="6" t="s">
        <v>24</v>
      </c>
      <c r="G20" s="6" t="s">
        <v>67</v>
      </c>
    </row>
    <row r="21" spans="1:7" ht="25.4" customHeight="1">
      <c r="A21" s="7">
        <v>19</v>
      </c>
      <c r="B21" s="12"/>
      <c r="C21" s="14" t="s">
        <v>68</v>
      </c>
      <c r="D21" s="7" t="s">
        <v>69</v>
      </c>
      <c r="E21" s="7" t="s">
        <v>70</v>
      </c>
      <c r="F21" s="7" t="s">
        <v>11</v>
      </c>
      <c r="G21" s="7" t="s">
        <v>71</v>
      </c>
    </row>
    <row r="22" spans="1:7" ht="25.4" customHeight="1">
      <c r="A22" s="7">
        <v>20</v>
      </c>
      <c r="B22" s="12"/>
      <c r="C22" s="12"/>
      <c r="D22" s="7" t="s">
        <v>72</v>
      </c>
      <c r="E22" s="7" t="s">
        <v>73</v>
      </c>
      <c r="F22" s="7" t="s">
        <v>11</v>
      </c>
      <c r="G22" s="7" t="s">
        <v>74</v>
      </c>
    </row>
    <row r="23" spans="1:7" ht="25.4" customHeight="1">
      <c r="A23" s="7">
        <v>21</v>
      </c>
      <c r="B23" s="12"/>
      <c r="C23" s="12"/>
      <c r="D23" s="7" t="s">
        <v>75</v>
      </c>
      <c r="E23" s="7" t="s">
        <v>76</v>
      </c>
      <c r="F23" s="7" t="s">
        <v>11</v>
      </c>
      <c r="G23" s="7" t="s">
        <v>77</v>
      </c>
    </row>
    <row r="24" spans="1:7" ht="25.4" customHeight="1">
      <c r="A24" s="7">
        <v>22</v>
      </c>
      <c r="B24" s="12"/>
      <c r="C24" s="12"/>
      <c r="D24" s="7" t="s">
        <v>78</v>
      </c>
      <c r="E24" s="7" t="s">
        <v>79</v>
      </c>
      <c r="F24" s="7" t="s">
        <v>11</v>
      </c>
      <c r="G24" s="7" t="s">
        <v>80</v>
      </c>
    </row>
    <row r="25" spans="1:7" ht="25.4" customHeight="1">
      <c r="A25" s="7">
        <v>23</v>
      </c>
      <c r="B25" s="12"/>
      <c r="C25" s="12"/>
      <c r="D25" s="7" t="s">
        <v>81</v>
      </c>
      <c r="E25" s="7" t="s">
        <v>82</v>
      </c>
      <c r="F25" s="7" t="s">
        <v>11</v>
      </c>
      <c r="G25" s="7" t="s">
        <v>83</v>
      </c>
    </row>
    <row r="26" spans="1:7" ht="25.4" customHeight="1">
      <c r="A26" s="6">
        <v>24</v>
      </c>
      <c r="B26" s="12"/>
      <c r="C26" s="13"/>
      <c r="D26" s="6" t="s">
        <v>84</v>
      </c>
      <c r="E26" s="6" t="s">
        <v>85</v>
      </c>
      <c r="F26" s="6" t="s">
        <v>24</v>
      </c>
      <c r="G26" s="6" t="s">
        <v>86</v>
      </c>
    </row>
    <row r="27" spans="1:7" ht="25.4" customHeight="1">
      <c r="A27" s="6">
        <v>25</v>
      </c>
      <c r="B27" s="12"/>
      <c r="C27" s="11" t="s">
        <v>87</v>
      </c>
      <c r="D27" s="6" t="s">
        <v>88</v>
      </c>
      <c r="E27" s="6" t="s">
        <v>89</v>
      </c>
      <c r="F27" s="6" t="s">
        <v>11</v>
      </c>
      <c r="G27" s="6" t="s">
        <v>90</v>
      </c>
    </row>
    <row r="28" spans="1:7" ht="25.4" customHeight="1">
      <c r="A28" s="6">
        <v>26</v>
      </c>
      <c r="B28" s="12"/>
      <c r="C28" s="12"/>
      <c r="D28" s="6" t="s">
        <v>91</v>
      </c>
      <c r="E28" s="6" t="s">
        <v>92</v>
      </c>
      <c r="F28" s="6" t="s">
        <v>11</v>
      </c>
      <c r="G28" s="6" t="s">
        <v>93</v>
      </c>
    </row>
    <row r="29" spans="1:7" ht="25.4" customHeight="1">
      <c r="A29" s="6">
        <v>27</v>
      </c>
      <c r="B29" s="12"/>
      <c r="C29" s="12"/>
      <c r="D29" s="6" t="s">
        <v>94</v>
      </c>
      <c r="E29" s="6" t="s">
        <v>95</v>
      </c>
      <c r="F29" s="6" t="s">
        <v>24</v>
      </c>
      <c r="G29" s="6" t="s">
        <v>96</v>
      </c>
    </row>
    <row r="30" spans="1:7" ht="25.4" customHeight="1">
      <c r="A30" s="6">
        <v>28</v>
      </c>
      <c r="B30" s="12"/>
      <c r="C30" s="12"/>
      <c r="D30" s="6" t="s">
        <v>97</v>
      </c>
      <c r="E30" s="6" t="s">
        <v>98</v>
      </c>
      <c r="F30" s="6" t="s">
        <v>11</v>
      </c>
      <c r="G30" s="6" t="s">
        <v>99</v>
      </c>
    </row>
    <row r="31" spans="1:7" ht="25.4" customHeight="1">
      <c r="A31" s="6">
        <v>29</v>
      </c>
      <c r="B31" s="12"/>
      <c r="C31" s="12"/>
      <c r="D31" s="6" t="s">
        <v>100</v>
      </c>
      <c r="E31" s="6" t="s">
        <v>101</v>
      </c>
      <c r="F31" s="6" t="s">
        <v>11</v>
      </c>
      <c r="G31" s="6" t="s">
        <v>102</v>
      </c>
    </row>
    <row r="32" spans="1:7" ht="25.4" customHeight="1">
      <c r="A32" s="6">
        <v>30</v>
      </c>
      <c r="B32" s="12"/>
      <c r="C32" s="13"/>
      <c r="D32" s="6" t="s">
        <v>103</v>
      </c>
      <c r="E32" s="6" t="s">
        <v>104</v>
      </c>
      <c r="F32" s="6" t="s">
        <v>24</v>
      </c>
      <c r="G32" s="6" t="s">
        <v>105</v>
      </c>
    </row>
    <row r="33" spans="1:7" ht="25.4" customHeight="1">
      <c r="A33" s="7">
        <v>31</v>
      </c>
      <c r="B33" s="12"/>
      <c r="C33" s="14" t="s">
        <v>106</v>
      </c>
      <c r="D33" s="7" t="s">
        <v>107</v>
      </c>
      <c r="E33" s="7" t="s">
        <v>108</v>
      </c>
      <c r="F33" s="7" t="s">
        <v>24</v>
      </c>
      <c r="G33" s="7" t="s">
        <v>109</v>
      </c>
    </row>
    <row r="34" spans="1:7" ht="25.4" customHeight="1">
      <c r="A34" s="7">
        <v>32</v>
      </c>
      <c r="B34" s="12"/>
      <c r="C34" s="12"/>
      <c r="D34" s="7" t="s">
        <v>110</v>
      </c>
      <c r="E34" s="7" t="s">
        <v>111</v>
      </c>
      <c r="F34" s="7" t="s">
        <v>24</v>
      </c>
      <c r="G34" s="7" t="s">
        <v>112</v>
      </c>
    </row>
    <row r="35" spans="1:7" ht="25.4" customHeight="1">
      <c r="A35" s="7">
        <v>33</v>
      </c>
      <c r="B35" s="12"/>
      <c r="C35" s="12"/>
      <c r="D35" s="7" t="s">
        <v>113</v>
      </c>
      <c r="E35" s="7" t="s">
        <v>114</v>
      </c>
      <c r="F35" s="7" t="s">
        <v>24</v>
      </c>
      <c r="G35" s="7" t="s">
        <v>115</v>
      </c>
    </row>
    <row r="36" spans="1:7" ht="25.4" customHeight="1">
      <c r="A36" s="7">
        <v>34</v>
      </c>
      <c r="B36" s="12"/>
      <c r="C36" s="12"/>
      <c r="D36" s="7" t="s">
        <v>116</v>
      </c>
      <c r="E36" s="7" t="s">
        <v>117</v>
      </c>
      <c r="F36" s="7" t="s">
        <v>24</v>
      </c>
      <c r="G36" s="7" t="s">
        <v>118</v>
      </c>
    </row>
    <row r="37" spans="1:7" ht="25.4" customHeight="1">
      <c r="A37" s="7">
        <v>35</v>
      </c>
      <c r="B37" s="12"/>
      <c r="C37" s="13"/>
      <c r="D37" s="7" t="s">
        <v>119</v>
      </c>
      <c r="E37" s="7" t="s">
        <v>120</v>
      </c>
      <c r="F37" s="7" t="s">
        <v>24</v>
      </c>
      <c r="G37" s="7" t="s">
        <v>121</v>
      </c>
    </row>
    <row r="38" spans="1:7" ht="25.4" customHeight="1">
      <c r="A38" s="6">
        <v>36</v>
      </c>
      <c r="B38" s="12"/>
      <c r="C38" s="11" t="s">
        <v>122</v>
      </c>
      <c r="D38" s="6" t="s">
        <v>123</v>
      </c>
      <c r="E38" s="6" t="s">
        <v>124</v>
      </c>
      <c r="F38" s="6" t="s">
        <v>24</v>
      </c>
      <c r="G38" s="6" t="s">
        <v>125</v>
      </c>
    </row>
    <row r="39" spans="1:7" ht="25.4" customHeight="1">
      <c r="A39" s="6">
        <v>37</v>
      </c>
      <c r="B39" s="12"/>
      <c r="C39" s="12"/>
      <c r="D39" s="6" t="s">
        <v>126</v>
      </c>
      <c r="E39" s="6" t="s">
        <v>127</v>
      </c>
      <c r="F39" s="6" t="s">
        <v>24</v>
      </c>
      <c r="G39" s="6" t="s">
        <v>128</v>
      </c>
    </row>
    <row r="40" spans="1:7" ht="25.4" customHeight="1">
      <c r="A40" s="6">
        <v>38</v>
      </c>
      <c r="B40" s="12"/>
      <c r="C40" s="12"/>
      <c r="D40" s="6" t="s">
        <v>129</v>
      </c>
      <c r="E40" s="6" t="s">
        <v>130</v>
      </c>
      <c r="F40" s="6" t="s">
        <v>24</v>
      </c>
      <c r="G40" s="6" t="s">
        <v>131</v>
      </c>
    </row>
    <row r="41" spans="1:7" ht="25.4" customHeight="1">
      <c r="A41" s="6">
        <v>39</v>
      </c>
      <c r="B41" s="12"/>
      <c r="C41" s="12"/>
      <c r="D41" s="6" t="s">
        <v>132</v>
      </c>
      <c r="E41" s="6" t="s">
        <v>133</v>
      </c>
      <c r="F41" s="6" t="s">
        <v>24</v>
      </c>
      <c r="G41" s="6" t="s">
        <v>134</v>
      </c>
    </row>
    <row r="42" spans="1:7" ht="25.4" customHeight="1">
      <c r="A42" s="6">
        <v>40</v>
      </c>
      <c r="B42" s="12"/>
      <c r="C42" s="12"/>
      <c r="D42" s="6" t="s">
        <v>135</v>
      </c>
      <c r="E42" s="6" t="s">
        <v>136</v>
      </c>
      <c r="F42" s="6" t="s">
        <v>24</v>
      </c>
      <c r="G42" s="6" t="s">
        <v>137</v>
      </c>
    </row>
    <row r="43" spans="1:7" ht="25.4" customHeight="1">
      <c r="A43" s="6">
        <v>41</v>
      </c>
      <c r="B43" s="12"/>
      <c r="C43" s="13"/>
      <c r="D43" s="6" t="s">
        <v>138</v>
      </c>
      <c r="E43" s="6" t="s">
        <v>139</v>
      </c>
      <c r="F43" s="6" t="s">
        <v>44</v>
      </c>
      <c r="G43" s="6" t="s">
        <v>140</v>
      </c>
    </row>
    <row r="44" spans="1:7" ht="25.4" customHeight="1">
      <c r="A44" s="7">
        <v>42</v>
      </c>
      <c r="B44" s="12"/>
      <c r="C44" s="14" t="s">
        <v>141</v>
      </c>
      <c r="D44" s="7" t="s">
        <v>142</v>
      </c>
      <c r="E44" s="7" t="s">
        <v>143</v>
      </c>
      <c r="F44" s="7" t="s">
        <v>11</v>
      </c>
      <c r="G44" s="7" t="s">
        <v>144</v>
      </c>
    </row>
    <row r="45" spans="1:7" ht="25.4" customHeight="1">
      <c r="A45" s="7">
        <v>43</v>
      </c>
      <c r="B45" s="12"/>
      <c r="C45" s="12"/>
      <c r="D45" s="7" t="s">
        <v>145</v>
      </c>
      <c r="E45" s="7" t="s">
        <v>146</v>
      </c>
      <c r="F45" s="7" t="s">
        <v>24</v>
      </c>
      <c r="G45" s="7" t="s">
        <v>147</v>
      </c>
    </row>
    <row r="46" spans="1:7" ht="25.4" customHeight="1">
      <c r="A46" s="7">
        <v>44</v>
      </c>
      <c r="B46" s="12"/>
      <c r="C46" s="12"/>
      <c r="D46" s="7" t="s">
        <v>148</v>
      </c>
      <c r="E46" s="7" t="s">
        <v>149</v>
      </c>
      <c r="F46" s="7" t="s">
        <v>24</v>
      </c>
      <c r="G46" s="7" t="s">
        <v>150</v>
      </c>
    </row>
    <row r="47" spans="1:7" ht="25.4" customHeight="1">
      <c r="A47" s="7">
        <v>45</v>
      </c>
      <c r="B47" s="12"/>
      <c r="C47" s="12"/>
      <c r="D47" s="7" t="s">
        <v>151</v>
      </c>
      <c r="E47" s="7" t="s">
        <v>152</v>
      </c>
      <c r="F47" s="7" t="s">
        <v>24</v>
      </c>
      <c r="G47" s="7" t="s">
        <v>153</v>
      </c>
    </row>
    <row r="48" spans="1:7" ht="25.4" customHeight="1">
      <c r="A48" s="7">
        <v>46</v>
      </c>
      <c r="B48" s="12"/>
      <c r="C48" s="13"/>
      <c r="D48" s="7" t="s">
        <v>154</v>
      </c>
      <c r="E48" s="7" t="s">
        <v>155</v>
      </c>
      <c r="F48" s="7" t="s">
        <v>24</v>
      </c>
      <c r="G48" s="7" t="s">
        <v>156</v>
      </c>
    </row>
    <row r="49" spans="1:7" ht="25.4" customHeight="1">
      <c r="A49" s="6">
        <v>47</v>
      </c>
      <c r="B49" s="12"/>
      <c r="C49" s="11" t="s">
        <v>157</v>
      </c>
      <c r="D49" s="6" t="s">
        <v>158</v>
      </c>
      <c r="E49" s="6" t="s">
        <v>159</v>
      </c>
      <c r="F49" s="6" t="s">
        <v>24</v>
      </c>
      <c r="G49" s="6" t="s">
        <v>160</v>
      </c>
    </row>
    <row r="50" spans="1:7" ht="25.4" customHeight="1">
      <c r="A50" s="6">
        <v>48</v>
      </c>
      <c r="B50" s="12"/>
      <c r="C50" s="12"/>
      <c r="D50" s="6" t="s">
        <v>161</v>
      </c>
      <c r="E50" s="6" t="s">
        <v>162</v>
      </c>
      <c r="F50" s="6" t="s">
        <v>24</v>
      </c>
      <c r="G50" s="6" t="s">
        <v>163</v>
      </c>
    </row>
    <row r="51" spans="1:7" ht="25.4" customHeight="1">
      <c r="A51" s="6">
        <v>49</v>
      </c>
      <c r="B51" s="12"/>
      <c r="C51" s="12"/>
      <c r="D51" s="6" t="s">
        <v>164</v>
      </c>
      <c r="E51" s="6" t="s">
        <v>165</v>
      </c>
      <c r="F51" s="6" t="s">
        <v>24</v>
      </c>
      <c r="G51" s="6" t="s">
        <v>166</v>
      </c>
    </row>
    <row r="52" spans="1:7" ht="25.4" customHeight="1">
      <c r="A52" s="6">
        <v>50</v>
      </c>
      <c r="B52" s="12"/>
      <c r="C52" s="12"/>
      <c r="D52" s="6" t="s">
        <v>167</v>
      </c>
      <c r="E52" s="6" t="s">
        <v>168</v>
      </c>
      <c r="F52" s="6" t="s">
        <v>44</v>
      </c>
      <c r="G52" s="6" t="s">
        <v>169</v>
      </c>
    </row>
    <row r="53" spans="1:7" ht="25.4" customHeight="1">
      <c r="A53" s="6">
        <v>51</v>
      </c>
      <c r="B53" s="12"/>
      <c r="C53" s="12"/>
      <c r="D53" s="6" t="s">
        <v>170</v>
      </c>
      <c r="E53" s="6" t="s">
        <v>171</v>
      </c>
      <c r="F53" s="6" t="s">
        <v>44</v>
      </c>
      <c r="G53" s="6" t="s">
        <v>172</v>
      </c>
    </row>
    <row r="54" spans="1:7" ht="25.4" customHeight="1">
      <c r="A54" s="6">
        <v>52</v>
      </c>
      <c r="B54" s="12"/>
      <c r="C54" s="13"/>
      <c r="D54" s="6" t="s">
        <v>173</v>
      </c>
      <c r="E54" s="6" t="s">
        <v>174</v>
      </c>
      <c r="F54" s="6" t="s">
        <v>24</v>
      </c>
      <c r="G54" s="6" t="s">
        <v>175</v>
      </c>
    </row>
    <row r="55" spans="1:7" ht="25.4" customHeight="1">
      <c r="A55" s="7">
        <v>53</v>
      </c>
      <c r="B55" s="12"/>
      <c r="C55" s="14" t="s">
        <v>176</v>
      </c>
      <c r="D55" s="7" t="s">
        <v>177</v>
      </c>
      <c r="E55" s="7" t="s">
        <v>178</v>
      </c>
      <c r="F55" s="7" t="s">
        <v>24</v>
      </c>
      <c r="G55" s="7" t="s">
        <v>179</v>
      </c>
    </row>
    <row r="56" spans="1:7" ht="25.4" customHeight="1">
      <c r="A56" s="7">
        <v>54</v>
      </c>
      <c r="B56" s="12"/>
      <c r="C56" s="12"/>
      <c r="D56" s="7" t="s">
        <v>180</v>
      </c>
      <c r="E56" s="7" t="s">
        <v>181</v>
      </c>
      <c r="F56" s="7" t="s">
        <v>24</v>
      </c>
      <c r="G56" s="7" t="s">
        <v>182</v>
      </c>
    </row>
    <row r="57" spans="1:7" ht="25.4" customHeight="1">
      <c r="A57" s="7">
        <v>55</v>
      </c>
      <c r="B57" s="12"/>
      <c r="C57" s="12"/>
      <c r="D57" s="7" t="s">
        <v>183</v>
      </c>
      <c r="E57" s="7" t="s">
        <v>184</v>
      </c>
      <c r="F57" s="7" t="s">
        <v>24</v>
      </c>
      <c r="G57" s="7" t="s">
        <v>185</v>
      </c>
    </row>
    <row r="58" spans="1:7" ht="25.4" customHeight="1">
      <c r="A58" s="7">
        <v>56</v>
      </c>
      <c r="B58" s="12"/>
      <c r="C58" s="12"/>
      <c r="D58" s="7" t="s">
        <v>186</v>
      </c>
      <c r="E58" s="7" t="s">
        <v>187</v>
      </c>
      <c r="F58" s="7" t="s">
        <v>24</v>
      </c>
      <c r="G58" s="7" t="s">
        <v>188</v>
      </c>
    </row>
    <row r="59" spans="1:7" ht="25.4" customHeight="1">
      <c r="A59" s="7">
        <v>57</v>
      </c>
      <c r="B59" s="12"/>
      <c r="C59" s="12"/>
      <c r="D59" s="7" t="s">
        <v>189</v>
      </c>
      <c r="E59" s="7" t="s">
        <v>190</v>
      </c>
      <c r="F59" s="7" t="s">
        <v>24</v>
      </c>
      <c r="G59" s="7" t="s">
        <v>191</v>
      </c>
    </row>
    <row r="60" spans="1:7" ht="25.4" customHeight="1">
      <c r="A60" s="7">
        <v>58</v>
      </c>
      <c r="B60" s="12"/>
      <c r="C60" s="13"/>
      <c r="D60" s="7" t="s">
        <v>192</v>
      </c>
      <c r="E60" s="7" t="s">
        <v>193</v>
      </c>
      <c r="F60" s="7" t="s">
        <v>24</v>
      </c>
      <c r="G60" s="7" t="s">
        <v>194</v>
      </c>
    </row>
    <row r="61" spans="1:7" ht="25.4" customHeight="1">
      <c r="A61" s="6">
        <v>59</v>
      </c>
      <c r="B61" s="12"/>
      <c r="C61" s="11" t="s">
        <v>195</v>
      </c>
      <c r="D61" s="6" t="s">
        <v>196</v>
      </c>
      <c r="E61" s="6" t="s">
        <v>197</v>
      </c>
      <c r="F61" s="6" t="s">
        <v>24</v>
      </c>
      <c r="G61" s="6" t="s">
        <v>198</v>
      </c>
    </row>
    <row r="62" spans="1:7" ht="25.4" customHeight="1">
      <c r="A62" s="6">
        <v>60</v>
      </c>
      <c r="B62" s="12"/>
      <c r="C62" s="12"/>
      <c r="D62" s="6" t="s">
        <v>199</v>
      </c>
      <c r="E62" s="6" t="s">
        <v>200</v>
      </c>
      <c r="F62" s="6" t="s">
        <v>24</v>
      </c>
      <c r="G62" s="6" t="s">
        <v>201</v>
      </c>
    </row>
    <row r="63" spans="1:7" ht="25.4" customHeight="1">
      <c r="A63" s="6">
        <v>61</v>
      </c>
      <c r="B63" s="12"/>
      <c r="C63" s="12"/>
      <c r="D63" s="6" t="s">
        <v>202</v>
      </c>
      <c r="E63" s="6" t="s">
        <v>203</v>
      </c>
      <c r="F63" s="6" t="s">
        <v>24</v>
      </c>
      <c r="G63" s="6" t="s">
        <v>204</v>
      </c>
    </row>
    <row r="64" spans="1:7" ht="25.4" customHeight="1">
      <c r="A64" s="6">
        <v>62</v>
      </c>
      <c r="B64" s="12"/>
      <c r="C64" s="12"/>
      <c r="D64" s="6" t="s">
        <v>205</v>
      </c>
      <c r="E64" s="6" t="s">
        <v>206</v>
      </c>
      <c r="F64" s="6" t="s">
        <v>24</v>
      </c>
      <c r="G64" s="6" t="s">
        <v>207</v>
      </c>
    </row>
    <row r="65" spans="1:7" ht="25.4" customHeight="1">
      <c r="A65" s="6">
        <v>63</v>
      </c>
      <c r="B65" s="12"/>
      <c r="C65" s="12"/>
      <c r="D65" s="6" t="s">
        <v>208</v>
      </c>
      <c r="E65" s="6" t="s">
        <v>209</v>
      </c>
      <c r="F65" s="6" t="s">
        <v>11</v>
      </c>
      <c r="G65" s="6" t="s">
        <v>210</v>
      </c>
    </row>
    <row r="66" spans="1:7" ht="25.4" customHeight="1">
      <c r="A66" s="6">
        <v>64</v>
      </c>
      <c r="B66" s="13"/>
      <c r="C66" s="13"/>
      <c r="D66" s="6" t="s">
        <v>211</v>
      </c>
      <c r="E66" s="6" t="s">
        <v>212</v>
      </c>
      <c r="F66" s="6" t="s">
        <v>24</v>
      </c>
      <c r="G66" s="6" t="s">
        <v>213</v>
      </c>
    </row>
  </sheetData>
  <mergeCells count="13">
    <mergeCell ref="A1:G1"/>
    <mergeCell ref="B3:B66"/>
    <mergeCell ref="C3:C8"/>
    <mergeCell ref="C9:C13"/>
    <mergeCell ref="C14:C20"/>
    <mergeCell ref="C21:C26"/>
    <mergeCell ref="C27:C32"/>
    <mergeCell ref="C33:C37"/>
    <mergeCell ref="C38:C43"/>
    <mergeCell ref="C44:C48"/>
    <mergeCell ref="C49:C54"/>
    <mergeCell ref="C55:C60"/>
    <mergeCell ref="C61:C66"/>
  </mergeCells>
  <phoneticPr fontId="2" type="noConversion"/>
  <conditionalFormatting sqref="F3:F56">
    <cfRule type="expression" dxfId="5" priority="1">
      <formula>F3="P0"</formula>
    </cfRule>
    <cfRule type="expression" dxfId="4" priority="2">
      <formula>F3="P1"</formula>
    </cfRule>
    <cfRule type="expression" dxfId="3" priority="3">
      <formula>F3="P2"</formula>
    </cfRule>
  </conditionalFormatting>
  <conditionalFormatting sqref="F3:F66">
    <cfRule type="expression" dxfId="2" priority="4">
      <formula>F3="P0"</formula>
    </cfRule>
    <cfRule type="expression" dxfId="1" priority="5">
      <formula>F3="P1"</formula>
    </cfRule>
    <cfRule type="expression" dxfId="0" priority="6">
      <formula>F3="P2"</formula>
    </cfRule>
  </conditionalFormatting>
  <dataValidations count="1">
    <dataValidation type="list" sqref="F3:F66" xr:uid="{00000000-0002-0000-0000-000000000000}">
      <formula1>"P0,P1,P2,P3"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"/>
  <cols>
    <col min="1" max="1" width="8" customWidth="1"/>
    <col min="2" max="2" width="16" customWidth="1"/>
    <col min="3" max="3" width="15" customWidth="1"/>
    <col min="4" max="4" width="20" customWidth="1"/>
    <col min="5" max="5" width="40" customWidth="1"/>
    <col min="6" max="6" width="14" customWidth="1"/>
    <col min="7" max="7" width="16" customWidth="1"/>
    <col min="8" max="8" width="12" customWidth="1"/>
    <col min="9" max="9" width="13" customWidth="1"/>
  </cols>
  <sheetData>
    <row r="1" spans="1:9" ht="20" customHeight="1">
      <c r="A1" s="15" t="s">
        <v>214</v>
      </c>
      <c r="B1" s="15"/>
      <c r="C1" s="15"/>
      <c r="D1" s="15"/>
      <c r="E1" s="15"/>
      <c r="F1" s="15"/>
      <c r="G1" s="15"/>
      <c r="H1" s="15"/>
      <c r="I1" s="15"/>
    </row>
    <row r="2" spans="1:9" ht="16.649999999999999" customHeight="1">
      <c r="A2" s="3" t="s">
        <v>0</v>
      </c>
      <c r="B2" s="3" t="s">
        <v>1</v>
      </c>
      <c r="C2" s="3" t="s">
        <v>215</v>
      </c>
      <c r="D2" s="3" t="s">
        <v>216</v>
      </c>
      <c r="E2" s="3" t="s">
        <v>4</v>
      </c>
      <c r="F2" s="3" t="s">
        <v>217</v>
      </c>
      <c r="G2" s="3" t="s">
        <v>218</v>
      </c>
      <c r="H2" s="3" t="s">
        <v>219</v>
      </c>
      <c r="I2" s="3" t="s">
        <v>220</v>
      </c>
    </row>
    <row r="3" spans="1:9" ht="25.4" customHeight="1">
      <c r="A3" s="2">
        <v>1</v>
      </c>
      <c r="B3" s="2" t="s">
        <v>7</v>
      </c>
      <c r="C3" s="2" t="s">
        <v>221</v>
      </c>
      <c r="D3" s="2" t="s">
        <v>222</v>
      </c>
      <c r="E3" s="1" t="s">
        <v>223</v>
      </c>
      <c r="F3" s="2">
        <v>3</v>
      </c>
      <c r="G3" s="2">
        <v>6</v>
      </c>
      <c r="H3" s="5">
        <v>0</v>
      </c>
      <c r="I3" s="5">
        <f t="shared" ref="I3:I15" si="0">G3*H3</f>
        <v>0</v>
      </c>
    </row>
    <row r="4" spans="1:9" ht="25.4" customHeight="1">
      <c r="A4" s="2">
        <v>2</v>
      </c>
      <c r="B4" s="2"/>
      <c r="C4" s="2" t="s">
        <v>224</v>
      </c>
      <c r="D4" s="2" t="s">
        <v>225</v>
      </c>
      <c r="E4" s="1" t="s">
        <v>226</v>
      </c>
      <c r="F4" s="2">
        <v>4</v>
      </c>
      <c r="G4" s="2">
        <v>7</v>
      </c>
      <c r="H4" s="5">
        <v>0</v>
      </c>
      <c r="I4" s="5">
        <f t="shared" si="0"/>
        <v>0</v>
      </c>
    </row>
    <row r="5" spans="1:9" ht="25.4" customHeight="1">
      <c r="A5" s="2">
        <v>3</v>
      </c>
      <c r="B5" s="2"/>
      <c r="C5" s="2" t="s">
        <v>29</v>
      </c>
      <c r="D5" s="2" t="s">
        <v>227</v>
      </c>
      <c r="E5" s="1" t="s">
        <v>228</v>
      </c>
      <c r="F5" s="2">
        <v>5</v>
      </c>
      <c r="G5" s="2">
        <v>8</v>
      </c>
      <c r="H5" s="5">
        <v>0</v>
      </c>
      <c r="I5" s="5">
        <f t="shared" si="0"/>
        <v>0</v>
      </c>
    </row>
    <row r="6" spans="1:9" ht="25.4" customHeight="1">
      <c r="A6" s="2">
        <v>4</v>
      </c>
      <c r="B6" s="2"/>
      <c r="C6" s="2" t="s">
        <v>46</v>
      </c>
      <c r="D6" s="2" t="s">
        <v>229</v>
      </c>
      <c r="E6" s="1" t="s">
        <v>230</v>
      </c>
      <c r="F6" s="2">
        <v>5</v>
      </c>
      <c r="G6" s="2">
        <v>8</v>
      </c>
      <c r="H6" s="5">
        <v>0</v>
      </c>
      <c r="I6" s="5">
        <f t="shared" si="0"/>
        <v>0</v>
      </c>
    </row>
    <row r="7" spans="1:9" ht="25.4" customHeight="1">
      <c r="A7" s="2">
        <v>5</v>
      </c>
      <c r="B7" s="2"/>
      <c r="C7" s="2" t="s">
        <v>231</v>
      </c>
      <c r="D7" s="2" t="s">
        <v>232</v>
      </c>
      <c r="E7" s="1" t="s">
        <v>233</v>
      </c>
      <c r="F7" s="2">
        <v>4</v>
      </c>
      <c r="G7" s="2">
        <v>7</v>
      </c>
      <c r="H7" s="5">
        <v>0</v>
      </c>
      <c r="I7" s="5">
        <f t="shared" si="0"/>
        <v>0</v>
      </c>
    </row>
    <row r="8" spans="1:9" ht="25.4" customHeight="1">
      <c r="A8" s="2">
        <v>6</v>
      </c>
      <c r="B8" s="2"/>
      <c r="C8" s="2" t="s">
        <v>231</v>
      </c>
      <c r="D8" s="2" t="s">
        <v>234</v>
      </c>
      <c r="E8" s="1" t="s">
        <v>235</v>
      </c>
      <c r="F8" s="2">
        <v>5</v>
      </c>
      <c r="G8" s="2">
        <v>8</v>
      </c>
      <c r="H8" s="5">
        <v>0</v>
      </c>
      <c r="I8" s="5">
        <f t="shared" si="0"/>
        <v>0</v>
      </c>
    </row>
    <row r="9" spans="1:9" ht="25.4" customHeight="1">
      <c r="A9" s="2">
        <v>7</v>
      </c>
      <c r="B9" s="2"/>
      <c r="C9" s="2" t="s">
        <v>231</v>
      </c>
      <c r="D9" s="2" t="s">
        <v>106</v>
      </c>
      <c r="E9" s="1" t="s">
        <v>236</v>
      </c>
      <c r="F9" s="2">
        <v>4</v>
      </c>
      <c r="G9" s="2">
        <v>6</v>
      </c>
      <c r="H9" s="5">
        <v>0</v>
      </c>
      <c r="I9" s="5">
        <f t="shared" si="0"/>
        <v>0</v>
      </c>
    </row>
    <row r="10" spans="1:9" ht="25.4" customHeight="1">
      <c r="A10" s="2">
        <v>8</v>
      </c>
      <c r="B10" s="2"/>
      <c r="C10" s="2" t="s">
        <v>237</v>
      </c>
      <c r="D10" s="2" t="s">
        <v>238</v>
      </c>
      <c r="E10" s="1" t="s">
        <v>239</v>
      </c>
      <c r="F10" s="2">
        <v>4</v>
      </c>
      <c r="G10" s="2">
        <v>6</v>
      </c>
      <c r="H10" s="5">
        <v>0</v>
      </c>
      <c r="I10" s="5">
        <f t="shared" si="0"/>
        <v>0</v>
      </c>
    </row>
    <row r="11" spans="1:9" ht="25.4" customHeight="1">
      <c r="A11" s="2">
        <v>9</v>
      </c>
      <c r="B11" s="2"/>
      <c r="C11" s="2" t="s">
        <v>141</v>
      </c>
      <c r="D11" s="2" t="s">
        <v>240</v>
      </c>
      <c r="E11" s="1" t="s">
        <v>241</v>
      </c>
      <c r="F11" s="2">
        <v>4</v>
      </c>
      <c r="G11" s="2">
        <v>6</v>
      </c>
      <c r="H11" s="5">
        <v>0</v>
      </c>
      <c r="I11" s="5">
        <f t="shared" si="0"/>
        <v>0</v>
      </c>
    </row>
    <row r="12" spans="1:9" ht="25.4" customHeight="1">
      <c r="A12" s="2">
        <v>10</v>
      </c>
      <c r="B12" s="2"/>
      <c r="C12" s="2" t="s">
        <v>157</v>
      </c>
      <c r="D12" s="2" t="s">
        <v>242</v>
      </c>
      <c r="E12" s="1" t="s">
        <v>243</v>
      </c>
      <c r="F12" s="2">
        <v>4</v>
      </c>
      <c r="G12" s="2">
        <v>6</v>
      </c>
      <c r="H12" s="5">
        <v>0</v>
      </c>
      <c r="I12" s="5">
        <f t="shared" si="0"/>
        <v>0</v>
      </c>
    </row>
    <row r="13" spans="1:9" ht="25.4" customHeight="1">
      <c r="A13" s="2">
        <v>11</v>
      </c>
      <c r="B13" s="2"/>
      <c r="C13" s="2" t="s">
        <v>176</v>
      </c>
      <c r="D13" s="2" t="s">
        <v>244</v>
      </c>
      <c r="E13" s="1" t="s">
        <v>245</v>
      </c>
      <c r="F13" s="2">
        <v>4</v>
      </c>
      <c r="G13" s="2">
        <v>6</v>
      </c>
      <c r="H13" s="5">
        <v>0</v>
      </c>
      <c r="I13" s="5">
        <f t="shared" si="0"/>
        <v>0</v>
      </c>
    </row>
    <row r="14" spans="1:9" ht="25.4" customHeight="1">
      <c r="A14" s="2">
        <v>12</v>
      </c>
      <c r="B14" s="2"/>
      <c r="C14" s="2" t="s">
        <v>246</v>
      </c>
      <c r="D14" s="2" t="s">
        <v>247</v>
      </c>
      <c r="E14" s="1" t="s">
        <v>248</v>
      </c>
      <c r="F14" s="2">
        <v>5</v>
      </c>
      <c r="G14" s="2">
        <v>9</v>
      </c>
      <c r="H14" s="5">
        <v>0</v>
      </c>
      <c r="I14" s="5">
        <f t="shared" si="0"/>
        <v>0</v>
      </c>
    </row>
    <row r="15" spans="1:9" ht="25.4" customHeight="1">
      <c r="A15" s="2">
        <v>13</v>
      </c>
      <c r="B15" s="2"/>
      <c r="C15" s="2" t="s">
        <v>249</v>
      </c>
      <c r="D15" s="2" t="s">
        <v>250</v>
      </c>
      <c r="E15" s="1" t="s">
        <v>251</v>
      </c>
      <c r="F15" s="2">
        <v>3</v>
      </c>
      <c r="G15" s="2">
        <v>6</v>
      </c>
      <c r="H15" s="5">
        <v>0</v>
      </c>
      <c r="I15" s="5">
        <f t="shared" si="0"/>
        <v>0</v>
      </c>
    </row>
    <row r="16" spans="1:9" ht="16.899999999999999" customHeight="1">
      <c r="A16" s="16" t="s">
        <v>252</v>
      </c>
      <c r="B16" s="16"/>
      <c r="C16" s="16"/>
      <c r="D16" s="16"/>
      <c r="E16" s="16"/>
      <c r="F16" s="16"/>
      <c r="G16" s="16">
        <f>SUM(G3:G15)</f>
        <v>89</v>
      </c>
      <c r="H16" s="17" t="s">
        <v>253</v>
      </c>
      <c r="I16" s="4">
        <f>SUM(I3:I15)</f>
        <v>0</v>
      </c>
    </row>
  </sheetData>
  <mergeCells count="2">
    <mergeCell ref="A1:I1"/>
    <mergeCell ref="A16:H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需求清单</vt:lpstr>
      <vt:lpstr>工作量估算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</dc:creator>
  <cp:lastModifiedBy>227681989@qq.com</cp:lastModifiedBy>
  <dcterms:modified xsi:type="dcterms:W3CDTF">2026-07-08T10:22:28Z</dcterms:modified>
</cp:coreProperties>
</file>